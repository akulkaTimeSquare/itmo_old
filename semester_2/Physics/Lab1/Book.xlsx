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0ris\Documents\ITMO\second_semester\Physics\Labs\Lab1\"/>
    </mc:Choice>
  </mc:AlternateContent>
  <xr:revisionPtr revIDLastSave="0" documentId="13_ncr:1_{A0D87ED8-2405-451D-8DB3-0C83DE38B4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chart.v1.0" hidden="1">Sheet1!$M$3:$M$20</definedName>
    <definedName name="_xlchart.v1.1" hidden="1">Sheet1!$N$3:$N$20</definedName>
    <definedName name="_xlchart.v1.2" hidden="1">Sheet1!$M$3:$M$20</definedName>
    <definedName name="_xlchart.v1.3" hidden="1">Sheet1!$N$3:$N$20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4" i="1" l="1"/>
  <c r="K24" i="1" s="1"/>
  <c r="J26" i="1"/>
  <c r="K26" i="1" s="1"/>
  <c r="J25" i="1"/>
  <c r="K25" i="1" s="1"/>
  <c r="F1" i="1"/>
  <c r="H19" i="1"/>
  <c r="H17" i="1"/>
  <c r="H15" i="1"/>
  <c r="H13" i="1"/>
  <c r="H11" i="1"/>
  <c r="H9" i="1"/>
  <c r="H7" i="1"/>
  <c r="H5" i="1"/>
  <c r="H3" i="1"/>
  <c r="J5" i="1"/>
  <c r="J7" i="1"/>
  <c r="J9" i="1"/>
  <c r="J11" i="1"/>
  <c r="J13" i="1"/>
  <c r="J15" i="1"/>
  <c r="J17" i="1"/>
  <c r="J19" i="1"/>
  <c r="J3" i="1"/>
  <c r="C85" i="1"/>
  <c r="C84" i="1"/>
  <c r="D1" i="1"/>
  <c r="D4" i="1" s="1"/>
  <c r="E4" i="1" s="1"/>
  <c r="I5" i="1" l="1"/>
  <c r="I17" i="1"/>
  <c r="I19" i="1"/>
  <c r="I7" i="1"/>
  <c r="I15" i="1"/>
  <c r="I13" i="1"/>
  <c r="I11" i="1"/>
  <c r="I9" i="1"/>
  <c r="I3" i="1"/>
  <c r="D25" i="1"/>
  <c r="E25" i="1" s="1"/>
  <c r="D72" i="1"/>
  <c r="E72" i="1" s="1"/>
  <c r="D83" i="1"/>
  <c r="E83" i="1" s="1"/>
  <c r="D71" i="1"/>
  <c r="E71" i="1" s="1"/>
  <c r="D59" i="1"/>
  <c r="E59" i="1" s="1"/>
  <c r="D47" i="1"/>
  <c r="E47" i="1" s="1"/>
  <c r="D35" i="1"/>
  <c r="E35" i="1" s="1"/>
  <c r="D23" i="1"/>
  <c r="E23" i="1" s="1"/>
  <c r="D11" i="1"/>
  <c r="E11" i="1" s="1"/>
  <c r="D82" i="1"/>
  <c r="E82" i="1" s="1"/>
  <c r="D70" i="1"/>
  <c r="E70" i="1" s="1"/>
  <c r="D58" i="1"/>
  <c r="E58" i="1" s="1"/>
  <c r="D46" i="1"/>
  <c r="E46" i="1" s="1"/>
  <c r="D34" i="1"/>
  <c r="E34" i="1" s="1"/>
  <c r="D22" i="1"/>
  <c r="E22" i="1" s="1"/>
  <c r="D10" i="1"/>
  <c r="E10" i="1" s="1"/>
  <c r="D38" i="1"/>
  <c r="E38" i="1" s="1"/>
  <c r="D37" i="1"/>
  <c r="E37" i="1" s="1"/>
  <c r="D24" i="1"/>
  <c r="E24" i="1" s="1"/>
  <c r="D81" i="1"/>
  <c r="E81" i="1" s="1"/>
  <c r="D69" i="1"/>
  <c r="E69" i="1" s="1"/>
  <c r="D57" i="1"/>
  <c r="E57" i="1" s="1"/>
  <c r="D45" i="1"/>
  <c r="E45" i="1" s="1"/>
  <c r="D33" i="1"/>
  <c r="E33" i="1" s="1"/>
  <c r="D21" i="1"/>
  <c r="E21" i="1" s="1"/>
  <c r="D9" i="1"/>
  <c r="E9" i="1" s="1"/>
  <c r="D2" i="1"/>
  <c r="D36" i="1"/>
  <c r="E36" i="1" s="1"/>
  <c r="D12" i="1"/>
  <c r="E12" i="1" s="1"/>
  <c r="D80" i="1"/>
  <c r="E80" i="1" s="1"/>
  <c r="D68" i="1"/>
  <c r="E68" i="1" s="1"/>
  <c r="D56" i="1"/>
  <c r="E56" i="1" s="1"/>
  <c r="D44" i="1"/>
  <c r="E44" i="1" s="1"/>
  <c r="D32" i="1"/>
  <c r="E32" i="1" s="1"/>
  <c r="D20" i="1"/>
  <c r="E20" i="1" s="1"/>
  <c r="D8" i="1"/>
  <c r="E8" i="1" s="1"/>
  <c r="D64" i="1"/>
  <c r="E64" i="1" s="1"/>
  <c r="D40" i="1"/>
  <c r="E40" i="1" s="1"/>
  <c r="D63" i="1"/>
  <c r="E63" i="1" s="1"/>
  <c r="D15" i="1"/>
  <c r="E15" i="1" s="1"/>
  <c r="D74" i="1"/>
  <c r="E74" i="1" s="1"/>
  <c r="D14" i="1"/>
  <c r="E14" i="1" s="1"/>
  <c r="D73" i="1"/>
  <c r="E73" i="1" s="1"/>
  <c r="D49" i="1"/>
  <c r="E49" i="1" s="1"/>
  <c r="D13" i="1"/>
  <c r="E13" i="1" s="1"/>
  <c r="D60" i="1"/>
  <c r="E60" i="1" s="1"/>
  <c r="D79" i="1"/>
  <c r="E79" i="1" s="1"/>
  <c r="D67" i="1"/>
  <c r="E67" i="1" s="1"/>
  <c r="D55" i="1"/>
  <c r="E55" i="1" s="1"/>
  <c r="D43" i="1"/>
  <c r="E43" i="1" s="1"/>
  <c r="D31" i="1"/>
  <c r="E31" i="1" s="1"/>
  <c r="D19" i="1"/>
  <c r="E19" i="1" s="1"/>
  <c r="D7" i="1"/>
  <c r="E7" i="1" s="1"/>
  <c r="D16" i="1"/>
  <c r="E16" i="1" s="1"/>
  <c r="D51" i="1"/>
  <c r="E51" i="1" s="1"/>
  <c r="D27" i="1"/>
  <c r="E27" i="1" s="1"/>
  <c r="D3" i="1"/>
  <c r="E3" i="1" s="1"/>
  <c r="D62" i="1"/>
  <c r="E62" i="1" s="1"/>
  <c r="D26" i="1"/>
  <c r="E26" i="1" s="1"/>
  <c r="D61" i="1"/>
  <c r="E61" i="1" s="1"/>
  <c r="D48" i="1"/>
  <c r="E48" i="1" s="1"/>
  <c r="D78" i="1"/>
  <c r="E78" i="1" s="1"/>
  <c r="D66" i="1"/>
  <c r="E66" i="1" s="1"/>
  <c r="D54" i="1"/>
  <c r="E54" i="1" s="1"/>
  <c r="D42" i="1"/>
  <c r="E42" i="1" s="1"/>
  <c r="D30" i="1"/>
  <c r="E30" i="1" s="1"/>
  <c r="D18" i="1"/>
  <c r="E18" i="1" s="1"/>
  <c r="D6" i="1"/>
  <c r="E6" i="1" s="1"/>
  <c r="D52" i="1"/>
  <c r="E52" i="1" s="1"/>
  <c r="D75" i="1"/>
  <c r="E75" i="1" s="1"/>
  <c r="D39" i="1"/>
  <c r="E39" i="1" s="1"/>
  <c r="D50" i="1"/>
  <c r="E50" i="1" s="1"/>
  <c r="D77" i="1"/>
  <c r="E77" i="1" s="1"/>
  <c r="D65" i="1"/>
  <c r="E65" i="1" s="1"/>
  <c r="D53" i="1"/>
  <c r="E53" i="1" s="1"/>
  <c r="D41" i="1"/>
  <c r="E41" i="1" s="1"/>
  <c r="D29" i="1"/>
  <c r="E29" i="1" s="1"/>
  <c r="D17" i="1"/>
  <c r="E17" i="1" s="1"/>
  <c r="D5" i="1"/>
  <c r="E5" i="1" s="1"/>
  <c r="D76" i="1"/>
  <c r="E76" i="1" s="1"/>
  <c r="D28" i="1"/>
  <c r="E28" i="1" s="1"/>
  <c r="D84" i="1" l="1"/>
  <c r="E2" i="1"/>
  <c r="E84" i="1" l="1"/>
  <c r="G28" i="1"/>
  <c r="E85" i="1" l="1"/>
  <c r="K13" i="1"/>
  <c r="K5" i="1"/>
  <c r="K17" i="1"/>
  <c r="K3" i="1"/>
  <c r="K7" i="1"/>
  <c r="K9" i="1"/>
  <c r="K11" i="1"/>
  <c r="K15" i="1"/>
  <c r="K19" i="1"/>
</calcChain>
</file>

<file path=xl/sharedStrings.xml><?xml version="1.0" encoding="utf-8"?>
<sst xmlns="http://schemas.openxmlformats.org/spreadsheetml/2006/main" count="11" uniqueCount="10">
  <si>
    <t>1 серия</t>
  </si>
  <si>
    <t>Измерения</t>
  </si>
  <si>
    <t>2 серия</t>
  </si>
  <si>
    <t>N</t>
  </si>
  <si>
    <t>t, c</t>
  </si>
  <si>
    <r>
      <t>p, c</t>
    </r>
    <r>
      <rPr>
        <vertAlign val="superscript"/>
        <sz val="12"/>
        <color rgb="FF000000"/>
        <rFont val="Cambria Math"/>
        <family val="1"/>
      </rPr>
      <t>-1</t>
    </r>
  </si>
  <si>
    <t xml:space="preserve">DELTA = </t>
  </si>
  <si>
    <t>Интервал, с</t>
  </si>
  <si>
    <t>от</t>
  </si>
  <si>
    <t>до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</si>
</sst>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1" formatCode="0.00000"/>
    <numFmt numFmtId="172" formatCode="0.0000"/>
    <numFmt numFmtId="173" formatCode="0.000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000000"/>
      <name val="Cambria Math"/>
      <family val="1"/>
    </font>
    <font>
      <sz val="12"/>
      <color theme="1"/>
      <name val="Cambria Math"/>
      <family val="1"/>
    </font>
    <font>
      <vertAlign val="superscript"/>
      <sz val="12"/>
      <color rgb="FF000000"/>
      <name val="Cambria Math"/>
      <family val="1"/>
    </font>
    <font>
      <sz val="14"/>
      <color rgb="FF000000"/>
      <name val="Cambria Math"/>
      <family val="1"/>
    </font>
    <font>
      <sz val="14"/>
      <color theme="1"/>
      <name val="Cambria Math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D9F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0" xfId="0" applyFill="1"/>
    <xf numFmtId="171" fontId="0" fillId="2" borderId="0" xfId="0" applyNumberFormat="1" applyFill="1"/>
    <xf numFmtId="172" fontId="0" fillId="2" borderId="0" xfId="0" applyNumberFormat="1" applyFill="1"/>
    <xf numFmtId="2" fontId="0" fillId="2" borderId="0" xfId="0" applyNumberFormat="1" applyFill="1"/>
    <xf numFmtId="2" fontId="0" fillId="0" borderId="0" xfId="0" applyNumberFormat="1"/>
    <xf numFmtId="173" fontId="0" fillId="0" borderId="0" xfId="0" applyNumberFormat="1"/>
    <xf numFmtId="0" fontId="1" fillId="0" borderId="2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vertical="top" wrapText="1"/>
    </xf>
    <xf numFmtId="0" fontId="3" fillId="5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2" fontId="1" fillId="0" borderId="5" xfId="0" applyNumberFormat="1" applyFont="1" applyBorder="1" applyAlignment="1">
      <alignment horizontal="center" vertical="center" wrapText="1"/>
    </xf>
    <xf numFmtId="2" fontId="1" fillId="0" borderId="2" xfId="0" applyNumberFormat="1" applyFont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1" fillId="0" borderId="4" xfId="0" applyFont="1" applyBorder="1" applyAlignment="1">
      <alignment vertical="center" wrapText="1"/>
    </xf>
    <xf numFmtId="0" fontId="1" fillId="5" borderId="5" xfId="0" applyFont="1" applyFill="1" applyBorder="1" applyAlignment="1">
      <alignment vertical="center" wrapText="1"/>
    </xf>
    <xf numFmtId="0" fontId="1" fillId="5" borderId="2" xfId="0" applyFont="1" applyFill="1" applyBorder="1" applyAlignment="1">
      <alignment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vertical="top" wrapText="1"/>
    </xf>
    <xf numFmtId="0" fontId="7" fillId="5" borderId="2" xfId="0" applyFont="1" applyFill="1" applyBorder="1" applyAlignment="1">
      <alignment vertical="top" wrapText="1"/>
    </xf>
    <xf numFmtId="2" fontId="1" fillId="0" borderId="4" xfId="0" applyNumberFormat="1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7</xdr:col>
      <xdr:colOff>198120</xdr:colOff>
      <xdr:row>1</xdr:row>
      <xdr:rowOff>175260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58D2ADC-3FCC-C970-0951-76B260470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99860" y="190500"/>
          <a:ext cx="1981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1</xdr:row>
      <xdr:rowOff>0</xdr:rowOff>
    </xdr:from>
    <xdr:to>
      <xdr:col>8</xdr:col>
      <xdr:colOff>510540</xdr:colOff>
      <xdr:row>1</xdr:row>
      <xdr:rowOff>342900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FE8256C-FDF1-6FF6-E839-E4E5BEF7E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09460" y="190500"/>
          <a:ext cx="51054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0</xdr:colOff>
      <xdr:row>21</xdr:row>
      <xdr:rowOff>0</xdr:rowOff>
    </xdr:from>
    <xdr:to>
      <xdr:col>9</xdr:col>
      <xdr:colOff>243840</xdr:colOff>
      <xdr:row>21</xdr:row>
      <xdr:rowOff>205740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0FE5FEB-D9D7-32EC-1A86-C7EE46AF8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44840" y="4366260"/>
          <a:ext cx="24384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21</xdr:row>
      <xdr:rowOff>0</xdr:rowOff>
    </xdr:from>
    <xdr:to>
      <xdr:col>10</xdr:col>
      <xdr:colOff>228600</xdr:colOff>
      <xdr:row>21</xdr:row>
      <xdr:rowOff>396240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05A90D9-8F83-BFEF-826C-BBDF179B0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29700" y="4366260"/>
          <a:ext cx="228600" cy="396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21</xdr:row>
      <xdr:rowOff>0</xdr:rowOff>
    </xdr:from>
    <xdr:to>
      <xdr:col>11</xdr:col>
      <xdr:colOff>114300</xdr:colOff>
      <xdr:row>21</xdr:row>
      <xdr:rowOff>205740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A3D2B67-F91C-C78F-59EC-13A80D3BF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97440" y="4366260"/>
          <a:ext cx="11430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23</xdr:row>
      <xdr:rowOff>0</xdr:rowOff>
    </xdr:from>
    <xdr:to>
      <xdr:col>7</xdr:col>
      <xdr:colOff>7620</xdr:colOff>
      <xdr:row>23</xdr:row>
      <xdr:rowOff>175260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928CA0D-1075-BDF9-201B-62FDF4646C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0260" y="7109460"/>
          <a:ext cx="6172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24</xdr:row>
      <xdr:rowOff>0</xdr:rowOff>
    </xdr:from>
    <xdr:to>
      <xdr:col>7</xdr:col>
      <xdr:colOff>91440</xdr:colOff>
      <xdr:row>24</xdr:row>
      <xdr:rowOff>175260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9A08F7C-8460-2793-DA87-F03C453D1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0260" y="7307580"/>
          <a:ext cx="70104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25</xdr:row>
      <xdr:rowOff>0</xdr:rowOff>
    </xdr:from>
    <xdr:to>
      <xdr:col>7</xdr:col>
      <xdr:colOff>91440</xdr:colOff>
      <xdr:row>25</xdr:row>
      <xdr:rowOff>175260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82CA206-71B3-86AE-A82B-25FC43CA4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0260" y="7505700"/>
          <a:ext cx="70104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5"/>
  <sheetViews>
    <sheetView tabSelected="1" workbookViewId="0">
      <selection activeCell="P15" sqref="P15"/>
    </sheetView>
  </sheetViews>
  <sheetFormatPr defaultRowHeight="14.4" x14ac:dyDescent="0.3"/>
  <cols>
    <col min="1" max="1" width="12.88671875" bestFit="1" customWidth="1"/>
    <col min="3" max="3" width="14.6640625" bestFit="1" customWidth="1"/>
    <col min="4" max="4" width="20.77734375" bestFit="1" customWidth="1"/>
    <col min="5" max="5" width="19.77734375" bestFit="1" customWidth="1"/>
    <col min="8" max="8" width="12.6640625" bestFit="1" customWidth="1"/>
    <col min="9" max="9" width="12.77734375" bestFit="1" customWidth="1"/>
    <col min="10" max="10" width="11.44140625" bestFit="1" customWidth="1"/>
    <col min="11" max="11" width="14.109375" bestFit="1" customWidth="1"/>
  </cols>
  <sheetData>
    <row r="1" spans="1:18" ht="25.8" customHeight="1" thickBot="1" x14ac:dyDescent="0.35">
      <c r="A1" t="s">
        <v>0</v>
      </c>
      <c r="C1" t="s">
        <v>1</v>
      </c>
      <c r="D1" s="2">
        <f>AVERAGE(C2:C83)</f>
        <v>4.914853658536587</v>
      </c>
      <c r="E1" t="s">
        <v>6</v>
      </c>
      <c r="F1">
        <f>(C84-C85)/9</f>
        <v>7.5555555555555529E-2</v>
      </c>
      <c r="Q1" t="s">
        <v>2</v>
      </c>
      <c r="R1" t="s">
        <v>1</v>
      </c>
    </row>
    <row r="2" spans="1:18" ht="21.6" customHeight="1" thickBot="1" x14ac:dyDescent="0.35">
      <c r="A2" t="s">
        <v>3</v>
      </c>
      <c r="B2">
        <v>82</v>
      </c>
      <c r="C2">
        <v>4.75</v>
      </c>
      <c r="D2" s="5">
        <f>$D$1-C2</f>
        <v>0.16485365853658696</v>
      </c>
      <c r="E2" s="6">
        <f>D2^2*10^2</f>
        <v>2.7176728732897608</v>
      </c>
      <c r="G2" s="10"/>
      <c r="H2" s="11"/>
      <c r="I2" s="11"/>
      <c r="J2" s="12" t="s">
        <v>4</v>
      </c>
      <c r="K2" s="12" t="s">
        <v>5</v>
      </c>
      <c r="R2">
        <v>4.75</v>
      </c>
    </row>
    <row r="3" spans="1:18" ht="15.6" thickBot="1" x14ac:dyDescent="0.35">
      <c r="C3">
        <v>4.8600000000000003</v>
      </c>
      <c r="D3" s="5">
        <f>$D$1-C3</f>
        <v>5.4853658536586636E-2</v>
      </c>
      <c r="E3" s="6">
        <f t="shared" ref="E3:E66" si="0">D3^2*10^2</f>
        <v>0.30089238548484437</v>
      </c>
      <c r="G3" s="7">
        <v>4.63</v>
      </c>
      <c r="H3" s="14">
        <f>COUNTIFS($C$2:$C$83, "&gt;=4.63", $C$2:$C$83, "&lt;4.71")</f>
        <v>7</v>
      </c>
      <c r="I3" s="14">
        <f>H3/($B$2*$F$1)</f>
        <v>1.1298421807747494</v>
      </c>
      <c r="J3" s="14">
        <f>AVERAGE(G3:G4)</f>
        <v>4.67</v>
      </c>
      <c r="K3" s="14">
        <f>1/($E$84*SQRT(2*PI()))*EXP(-((J3-$D$1)^2)/(2*$E$84^2))</f>
        <v>0.78279663957346513</v>
      </c>
      <c r="M3" s="7">
        <v>4.63</v>
      </c>
      <c r="N3" s="5">
        <v>1.1298421807747494</v>
      </c>
      <c r="R3">
        <v>4.8600000000000003</v>
      </c>
    </row>
    <row r="4" spans="1:18" ht="15.6" thickBot="1" x14ac:dyDescent="0.35">
      <c r="C4">
        <v>4.8899999999999997</v>
      </c>
      <c r="D4" s="5">
        <f>$D$1-C4</f>
        <v>2.4853658536587275E-2</v>
      </c>
      <c r="E4" s="6">
        <f t="shared" si="0"/>
        <v>6.1770434265327759E-2</v>
      </c>
      <c r="G4" s="7">
        <v>4.71</v>
      </c>
      <c r="H4" s="15"/>
      <c r="I4" s="15"/>
      <c r="J4" s="15"/>
      <c r="K4" s="15"/>
      <c r="M4" s="7">
        <v>4.71</v>
      </c>
      <c r="N4" s="5"/>
      <c r="R4">
        <v>4.8899999999999997</v>
      </c>
    </row>
    <row r="5" spans="1:18" ht="15.6" thickBot="1" x14ac:dyDescent="0.35">
      <c r="C5">
        <v>4.74</v>
      </c>
      <c r="D5" s="5">
        <f>$D$1-C5</f>
        <v>0.17485365853658674</v>
      </c>
      <c r="E5" s="6">
        <f t="shared" si="0"/>
        <v>3.0573801903629274</v>
      </c>
      <c r="G5" s="8">
        <v>4.71</v>
      </c>
      <c r="H5" s="14">
        <f>COUNTIFS($C$2:$C$83, "&gt;=4.71", $C$2:$C$83, "&lt;4.79")</f>
        <v>15</v>
      </c>
      <c r="I5" s="14">
        <f t="shared" ref="I5" si="1">H5/($B$2*$F$1)</f>
        <v>2.4210903873744627</v>
      </c>
      <c r="J5" s="14">
        <f t="shared" ref="J5" si="2">AVERAGE(G5:G6)</f>
        <v>4.75</v>
      </c>
      <c r="K5" s="14">
        <f t="shared" ref="K5" si="3">1/($E$84*SQRT(2*PI()))*EXP(-((J5-$D$1)^2)/(2*$E$84^2))</f>
        <v>1.4671681775336696</v>
      </c>
      <c r="M5" s="8">
        <v>4.71</v>
      </c>
      <c r="N5" s="5">
        <v>2.4210903873744627</v>
      </c>
      <c r="R5">
        <v>4.74</v>
      </c>
    </row>
    <row r="6" spans="1:18" ht="15.6" thickBot="1" x14ac:dyDescent="0.35">
      <c r="C6">
        <v>4.67</v>
      </c>
      <c r="D6" s="5">
        <f>$D$1-C6</f>
        <v>0.24485365853658703</v>
      </c>
      <c r="E6" s="6">
        <f t="shared" si="0"/>
        <v>5.9953314098751553</v>
      </c>
      <c r="G6" s="8">
        <v>4.79</v>
      </c>
      <c r="H6" s="15"/>
      <c r="I6" s="15"/>
      <c r="J6" s="15"/>
      <c r="K6" s="15"/>
      <c r="M6" s="8">
        <v>4.79</v>
      </c>
      <c r="N6" s="5"/>
      <c r="R6">
        <v>4.67</v>
      </c>
    </row>
    <row r="7" spans="1:18" ht="15.6" thickBot="1" x14ac:dyDescent="0.35">
      <c r="C7">
        <v>4.97</v>
      </c>
      <c r="D7" s="5">
        <f>$D$1-C7</f>
        <v>-5.5146341463412796E-2</v>
      </c>
      <c r="E7" s="6">
        <f t="shared" si="0"/>
        <v>0.30411189767993213</v>
      </c>
      <c r="G7" s="7">
        <v>4.79</v>
      </c>
      <c r="H7" s="14">
        <f>COUNTIFS($C$2:$C$83, "&gt;=4.79", $C$2:$C$83, "&lt;4.87")</f>
        <v>13</v>
      </c>
      <c r="I7" s="14">
        <f t="shared" ref="I7" si="4">H7/($B$2*$F$1)</f>
        <v>2.0982783357245345</v>
      </c>
      <c r="J7" s="14">
        <f t="shared" ref="J7:J20" si="5">AVERAGE(G7:G8)</f>
        <v>4.83</v>
      </c>
      <c r="K7" s="14">
        <f t="shared" ref="K7" si="6">1/($E$84*SQRT(2*PI()))*EXP(-((J7-$D$1)^2)/(2*$E$84^2))</f>
        <v>2.1516130622517089</v>
      </c>
      <c r="M7" s="7">
        <v>4.79</v>
      </c>
      <c r="N7" s="5">
        <v>2.0982783357245345</v>
      </c>
      <c r="R7">
        <v>4.97</v>
      </c>
    </row>
    <row r="8" spans="1:18" ht="15.6" thickBot="1" x14ac:dyDescent="0.35">
      <c r="C8">
        <v>4.83</v>
      </c>
      <c r="D8" s="5">
        <f>$D$1-C8</f>
        <v>8.4853658536586885E-2</v>
      </c>
      <c r="E8" s="6">
        <f t="shared" si="0"/>
        <v>0.72001433670436843</v>
      </c>
      <c r="G8" s="7">
        <v>4.87</v>
      </c>
      <c r="H8" s="15"/>
      <c r="I8" s="15"/>
      <c r="J8" s="15"/>
      <c r="K8" s="15"/>
      <c r="M8" s="7">
        <v>4.87</v>
      </c>
      <c r="N8" s="5"/>
      <c r="R8">
        <v>4.83</v>
      </c>
    </row>
    <row r="9" spans="1:18" ht="15.6" thickBot="1" x14ac:dyDescent="0.35">
      <c r="C9">
        <v>4.88</v>
      </c>
      <c r="D9" s="5">
        <f>$D$1-C9</f>
        <v>3.4853658536587062E-2</v>
      </c>
      <c r="E9" s="6">
        <f t="shared" si="0"/>
        <v>0.12147775133850081</v>
      </c>
      <c r="G9" s="8">
        <v>4.87</v>
      </c>
      <c r="H9" s="14">
        <f>COUNTIFS($C$2:$C$83, "&gt;=4.87", $C$2:$C$83, "&lt;4.95")</f>
        <v>19</v>
      </c>
      <c r="I9" s="14">
        <f t="shared" ref="I9" si="7">H9/($B$2*$F$1)</f>
        <v>3.0667144906743196</v>
      </c>
      <c r="J9" s="14">
        <f t="shared" ref="J9:J20" si="8">AVERAGE(G9:G10)</f>
        <v>4.91</v>
      </c>
      <c r="K9" s="14">
        <f t="shared" ref="K9" si="9">1/($E$84*SQRT(2*PI()))*EXP(-((J9-$D$1)^2)/(2*$E$84^2))</f>
        <v>2.4688901844602249</v>
      </c>
      <c r="M9" s="8">
        <v>4.87</v>
      </c>
      <c r="N9" s="5">
        <v>3.0667144906743196</v>
      </c>
      <c r="R9">
        <v>4.88</v>
      </c>
    </row>
    <row r="10" spans="1:18" ht="15.6" thickBot="1" x14ac:dyDescent="0.35">
      <c r="C10">
        <v>4.7699999999999996</v>
      </c>
      <c r="D10" s="5">
        <f>$D$1-C10</f>
        <v>0.14485365853658738</v>
      </c>
      <c r="E10" s="6">
        <f t="shared" si="0"/>
        <v>2.0982582391434255</v>
      </c>
      <c r="G10" s="8">
        <v>4.95</v>
      </c>
      <c r="H10" s="15"/>
      <c r="I10" s="15"/>
      <c r="J10" s="15"/>
      <c r="K10" s="15"/>
      <c r="M10" s="8">
        <v>4.95</v>
      </c>
      <c r="N10" s="5"/>
      <c r="R10">
        <v>4.7699999999999996</v>
      </c>
    </row>
    <row r="11" spans="1:18" ht="15.6" thickBot="1" x14ac:dyDescent="0.35">
      <c r="C11">
        <v>4.75</v>
      </c>
      <c r="D11" s="5">
        <f>$D$1-C11</f>
        <v>0.16485365853658696</v>
      </c>
      <c r="E11" s="6">
        <f t="shared" si="0"/>
        <v>2.7176728732897608</v>
      </c>
      <c r="G11" s="7">
        <v>4.95</v>
      </c>
      <c r="H11" s="14">
        <f>COUNTIFS($C$2:$C$83, "&gt;=4.95", $C$2:$C$83, "&lt;5.03")</f>
        <v>9</v>
      </c>
      <c r="I11" s="14">
        <f t="shared" ref="I11" si="10">H11/($B$2*$F$1)</f>
        <v>1.4526542324246776</v>
      </c>
      <c r="J11" s="14">
        <f t="shared" ref="J11:J20" si="11">AVERAGE(G11:G12)</f>
        <v>4.99</v>
      </c>
      <c r="K11" s="14">
        <f t="shared" ref="K11" si="12">1/($E$84*SQRT(2*PI()))*EXP(-((J11-$D$1)^2)/(2*$E$84^2))</f>
        <v>2.2166274207057381</v>
      </c>
      <c r="M11" s="7">
        <v>4.95</v>
      </c>
      <c r="N11" s="5">
        <v>1.4526542324246776</v>
      </c>
      <c r="R11">
        <v>4.75</v>
      </c>
    </row>
    <row r="12" spans="1:18" ht="15.6" thickBot="1" x14ac:dyDescent="0.35">
      <c r="C12">
        <v>5.27</v>
      </c>
      <c r="D12" s="5">
        <f>$D$1-C12</f>
        <v>-0.35514634146341262</v>
      </c>
      <c r="E12" s="6">
        <f t="shared" si="0"/>
        <v>12.612892385484686</v>
      </c>
      <c r="G12" s="7">
        <v>5.03</v>
      </c>
      <c r="H12" s="15"/>
      <c r="I12" s="15"/>
      <c r="J12" s="15"/>
      <c r="K12" s="15"/>
      <c r="M12" s="7">
        <v>5.03</v>
      </c>
      <c r="N12" s="5"/>
      <c r="R12">
        <v>5.27</v>
      </c>
    </row>
    <row r="13" spans="1:18" ht="15.6" thickBot="1" x14ac:dyDescent="0.35">
      <c r="C13">
        <v>4.7300000000000004</v>
      </c>
      <c r="D13" s="5">
        <f>$D$1-C13</f>
        <v>0.18485365853658653</v>
      </c>
      <c r="E13" s="6">
        <f t="shared" si="0"/>
        <v>3.4170875074360931</v>
      </c>
      <c r="G13" s="8">
        <v>5.03</v>
      </c>
      <c r="H13" s="14">
        <f>COUNTIFS($C$2:$C$83, "&gt;=5.03", $C$2:$C$83, "&lt;5.11")</f>
        <v>6</v>
      </c>
      <c r="I13" s="14">
        <f t="shared" ref="I13" si="13">H13/($B$2*$F$1)</f>
        <v>0.96843615494978519</v>
      </c>
      <c r="J13" s="14">
        <f t="shared" ref="J13:J20" si="14">AVERAGE(G13:G14)</f>
        <v>5.07</v>
      </c>
      <c r="K13" s="14">
        <f>1/($E$84*SQRT(2*PI()))*EXP(-((J13-$D$1)^2)/(2*$E$84^2))</f>
        <v>1.5571733306631736</v>
      </c>
      <c r="M13" s="8">
        <v>5.03</v>
      </c>
      <c r="N13" s="5">
        <v>0.96843615494978519</v>
      </c>
      <c r="R13">
        <v>4.7300000000000004</v>
      </c>
    </row>
    <row r="14" spans="1:18" ht="15.6" thickBot="1" x14ac:dyDescent="0.35">
      <c r="C14">
        <v>5.09</v>
      </c>
      <c r="D14" s="5">
        <f>$D$1-C14</f>
        <v>-0.1751463414634129</v>
      </c>
      <c r="E14" s="6">
        <f t="shared" si="0"/>
        <v>3.067624092801843</v>
      </c>
      <c r="G14" s="8">
        <v>5.1100000000000003</v>
      </c>
      <c r="H14" s="15"/>
      <c r="I14" s="15"/>
      <c r="J14" s="15"/>
      <c r="K14" s="15"/>
      <c r="M14" s="8">
        <v>5.1100000000000003</v>
      </c>
      <c r="N14" s="5"/>
      <c r="R14">
        <v>5.09</v>
      </c>
    </row>
    <row r="15" spans="1:18" ht="15.6" thickBot="1" x14ac:dyDescent="0.35">
      <c r="C15">
        <v>4.8600000000000003</v>
      </c>
      <c r="D15" s="5">
        <f>$D$1-C15</f>
        <v>5.4853658536586636E-2</v>
      </c>
      <c r="E15" s="6">
        <f t="shared" si="0"/>
        <v>0.30089238548484437</v>
      </c>
      <c r="G15" s="7">
        <v>5.1100000000000003</v>
      </c>
      <c r="H15" s="14">
        <f>COUNTIFS($C$2:$C$83, "&gt;=5.11", $C$2:$C$83, "&lt;5.19")</f>
        <v>7</v>
      </c>
      <c r="I15" s="14">
        <f t="shared" ref="I15" si="15">H15/($B$2*$F$1)</f>
        <v>1.1298421807747494</v>
      </c>
      <c r="J15" s="14">
        <f t="shared" ref="J15:J20" si="16">AVERAGE(G15:G16)</f>
        <v>5.15</v>
      </c>
      <c r="K15" s="14">
        <f t="shared" ref="K15" si="17">1/($E$84*SQRT(2*PI()))*EXP(-((J15-$D$1)^2)/(2*$E$84^2))</f>
        <v>0.85592269145171129</v>
      </c>
      <c r="M15" s="7">
        <v>5.1100000000000003</v>
      </c>
      <c r="N15" s="5">
        <v>1.1298421807747494</v>
      </c>
      <c r="R15">
        <v>4.8600000000000003</v>
      </c>
    </row>
    <row r="16" spans="1:18" ht="15.6" thickBot="1" x14ac:dyDescent="0.35">
      <c r="C16">
        <v>4.6900000000000004</v>
      </c>
      <c r="D16" s="5">
        <f>$D$1-C16</f>
        <v>0.22485365853658656</v>
      </c>
      <c r="E16" s="6">
        <f t="shared" si="0"/>
        <v>5.0559167757287868</v>
      </c>
      <c r="G16" s="7">
        <v>5.19</v>
      </c>
      <c r="H16" s="15"/>
      <c r="I16" s="15"/>
      <c r="J16" s="15"/>
      <c r="K16" s="15"/>
      <c r="M16" s="7">
        <v>5.19</v>
      </c>
      <c r="N16" s="5"/>
      <c r="R16">
        <v>4.6900000000000004</v>
      </c>
    </row>
    <row r="17" spans="3:18" ht="15.6" thickBot="1" x14ac:dyDescent="0.35">
      <c r="C17">
        <v>4.92</v>
      </c>
      <c r="D17" s="5">
        <f>$D$1-C17</f>
        <v>-5.1463414634129734E-3</v>
      </c>
      <c r="E17" s="6">
        <f t="shared" si="0"/>
        <v>2.6484830458043587E-3</v>
      </c>
      <c r="G17" s="8">
        <v>5.19</v>
      </c>
      <c r="H17" s="14">
        <f>COUNTIFS($C$2:$C$83, "&gt;=5.19", $C$2:$C$83, "&lt;5.27")</f>
        <v>4</v>
      </c>
      <c r="I17" s="14">
        <f t="shared" ref="I17" si="18">H17/($B$2*$F$1)</f>
        <v>0.64562410329985676</v>
      </c>
      <c r="J17" s="14">
        <f t="shared" ref="J17:J20" si="19">AVERAGE(G17:G18)</f>
        <v>5.23</v>
      </c>
      <c r="K17" s="14">
        <f t="shared" ref="K17" si="20">1/($E$84*SQRT(2*PI()))*EXP(-((J17-$D$1)^2)/(2*$E$84^2))</f>
        <v>0.36811664112723469</v>
      </c>
      <c r="M17" s="8">
        <v>5.19</v>
      </c>
      <c r="N17" s="5">
        <v>0.64562410329985676</v>
      </c>
      <c r="R17">
        <v>4.92</v>
      </c>
    </row>
    <row r="18" spans="3:18" ht="15.6" thickBot="1" x14ac:dyDescent="0.35">
      <c r="C18">
        <v>4.71</v>
      </c>
      <c r="D18" s="5">
        <f>$D$1-C18</f>
        <v>0.20485365853658699</v>
      </c>
      <c r="E18" s="6">
        <f t="shared" si="0"/>
        <v>4.1965021415824584</v>
      </c>
      <c r="G18" s="8">
        <v>5.27</v>
      </c>
      <c r="H18" s="15"/>
      <c r="I18" s="15"/>
      <c r="J18" s="15"/>
      <c r="K18" s="15"/>
      <c r="M18" s="8">
        <v>5.27</v>
      </c>
      <c r="N18" s="5"/>
      <c r="R18">
        <v>4.71</v>
      </c>
    </row>
    <row r="19" spans="3:18" ht="15.6" thickBot="1" x14ac:dyDescent="0.35">
      <c r="C19">
        <v>4.91</v>
      </c>
      <c r="D19" s="5">
        <f>$D$1-C19</f>
        <v>4.8536585365868135E-3</v>
      </c>
      <c r="E19" s="6">
        <f t="shared" si="0"/>
        <v>2.3558001189782048E-3</v>
      </c>
      <c r="G19" s="9">
        <v>5.27</v>
      </c>
      <c r="H19" s="14">
        <f>COUNTIFS($C$2:$C$83, "&gt;=5.27", $C$2:$C$83, "&lt;=5.31")</f>
        <v>2</v>
      </c>
      <c r="I19" s="14">
        <f t="shared" ref="I19" si="21">H19/($B$2*$F$1)</f>
        <v>0.32281205164992838</v>
      </c>
      <c r="J19" s="14">
        <f t="shared" ref="J19:J20" si="22">AVERAGE(G19:G20)</f>
        <v>5.2899999999999991</v>
      </c>
      <c r="K19" s="14">
        <f t="shared" ref="K19" si="23">1/($E$84*SQRT(2*PI()))*EXP(-((J19-$D$1)^2)/(2*$E$84^2))</f>
        <v>0.1664283776381851</v>
      </c>
      <c r="M19" s="9">
        <v>5.27</v>
      </c>
      <c r="N19" s="5">
        <v>0.32281205164992838</v>
      </c>
      <c r="R19">
        <v>4.91</v>
      </c>
    </row>
    <row r="20" spans="3:18" ht="15.6" thickBot="1" x14ac:dyDescent="0.35">
      <c r="C20">
        <v>4.75</v>
      </c>
      <c r="D20" s="5">
        <f>$D$1-C20</f>
        <v>0.16485365853658696</v>
      </c>
      <c r="E20" s="6">
        <f t="shared" si="0"/>
        <v>2.7176728732897608</v>
      </c>
      <c r="G20" s="9">
        <v>5.31</v>
      </c>
      <c r="H20" s="15"/>
      <c r="I20" s="15"/>
      <c r="J20" s="15"/>
      <c r="K20" s="15"/>
      <c r="M20" s="9">
        <v>5.31</v>
      </c>
      <c r="N20" s="5"/>
      <c r="R20">
        <v>4.75</v>
      </c>
    </row>
    <row r="21" spans="3:18" ht="15.6" thickBot="1" x14ac:dyDescent="0.35">
      <c r="C21">
        <v>4.8780000000000001</v>
      </c>
      <c r="D21" s="5">
        <f>$D$1-C21</f>
        <v>3.6853658536586842E-2</v>
      </c>
      <c r="E21" s="6">
        <f t="shared" si="0"/>
        <v>0.13581921475313402</v>
      </c>
      <c r="G21" s="13"/>
      <c r="R21">
        <v>4.8780000000000001</v>
      </c>
    </row>
    <row r="22" spans="3:18" ht="39.6" customHeight="1" thickBot="1" x14ac:dyDescent="0.35">
      <c r="C22">
        <v>5.1040000000000001</v>
      </c>
      <c r="D22" s="5">
        <f>$D$1-C22</f>
        <v>-0.18914634146341314</v>
      </c>
      <c r="E22" s="6">
        <f t="shared" si="0"/>
        <v>3.5776338488994077</v>
      </c>
      <c r="G22" s="19"/>
      <c r="H22" s="21" t="s">
        <v>7</v>
      </c>
      <c r="I22" s="22"/>
      <c r="J22" s="23"/>
      <c r="K22" s="23"/>
      <c r="L22" s="23"/>
      <c r="R22">
        <v>5.1040000000000001</v>
      </c>
    </row>
    <row r="23" spans="3:18" ht="28.2" customHeight="1" thickBot="1" x14ac:dyDescent="0.35">
      <c r="C23">
        <v>4.93</v>
      </c>
      <c r="D23" s="5">
        <f>$D$1-C23</f>
        <v>-1.514634146341276E-2</v>
      </c>
      <c r="E23" s="6">
        <f t="shared" si="0"/>
        <v>2.294116597262966E-2</v>
      </c>
      <c r="G23" s="20"/>
      <c r="H23" s="16" t="s">
        <v>8</v>
      </c>
      <c r="I23" s="16" t="s">
        <v>9</v>
      </c>
      <c r="J23" s="24"/>
      <c r="K23" s="24"/>
      <c r="L23" s="24"/>
      <c r="R23">
        <v>4.93</v>
      </c>
    </row>
    <row r="24" spans="3:18" ht="93" thickBot="1" x14ac:dyDescent="0.35">
      <c r="C24">
        <v>4.7670000000000003</v>
      </c>
      <c r="D24" s="5">
        <f>$D$1-C24</f>
        <v>0.14785365853658661</v>
      </c>
      <c r="E24" s="6">
        <f t="shared" si="0"/>
        <v>2.1860704342653547</v>
      </c>
      <c r="G24" s="17"/>
      <c r="H24" s="26">
        <v>4.75</v>
      </c>
      <c r="I24" s="27">
        <v>5.07</v>
      </c>
      <c r="J24" s="18">
        <f>COUNTIFS($C$2:$C$83,"&gt;=4.75",$C$2:$C$83,"&lt;=5.07")</f>
        <v>52</v>
      </c>
      <c r="K24" s="25">
        <f>J24/82</f>
        <v>0.63414634146341464</v>
      </c>
      <c r="L24" s="18">
        <v>0.68300000000000005</v>
      </c>
      <c r="R24">
        <v>4.7670000000000003</v>
      </c>
    </row>
    <row r="25" spans="3:18" ht="93" thickBot="1" x14ac:dyDescent="0.35">
      <c r="C25">
        <v>4.7380000000000004</v>
      </c>
      <c r="D25" s="5">
        <f>$D$1-C25</f>
        <v>0.17685365853658652</v>
      </c>
      <c r="E25" s="6">
        <f t="shared" si="0"/>
        <v>3.1277216537775541</v>
      </c>
      <c r="G25" s="17"/>
      <c r="H25" s="28">
        <v>4.59</v>
      </c>
      <c r="I25" s="29">
        <v>5.23</v>
      </c>
      <c r="J25" s="18">
        <f>COUNTIFS($C$2:$C$83,"&gt;=4.59",$C$2:$C$83,"&lt;=5.23")</f>
        <v>79</v>
      </c>
      <c r="K25" s="25">
        <f t="shared" ref="K25:K26" si="24">J25/82</f>
        <v>0.96341463414634143</v>
      </c>
      <c r="L25" s="18">
        <v>0.95399999999999996</v>
      </c>
      <c r="R25">
        <v>4.7380000000000004</v>
      </c>
    </row>
    <row r="26" spans="3:18" ht="93" thickBot="1" x14ac:dyDescent="0.35">
      <c r="C26">
        <v>5.1210000000000004</v>
      </c>
      <c r="D26" s="5">
        <f>$D$1-C26</f>
        <v>-0.20614634146341348</v>
      </c>
      <c r="E26" s="6">
        <f t="shared" si="0"/>
        <v>4.2496314098750272</v>
      </c>
      <c r="G26" s="17"/>
      <c r="H26" s="28">
        <v>4.43</v>
      </c>
      <c r="I26" s="29">
        <v>5.39</v>
      </c>
      <c r="J26" s="18">
        <f>COUNTIFS($C$2:$C$83,"&gt;=4.43",$C$2:$C$83,"&lt;=5.39")</f>
        <v>82</v>
      </c>
      <c r="K26" s="25">
        <f t="shared" si="24"/>
        <v>1</v>
      </c>
      <c r="L26" s="18">
        <v>0.97699999999999998</v>
      </c>
      <c r="R26">
        <v>5.1210000000000004</v>
      </c>
    </row>
    <row r="27" spans="3:18" x14ac:dyDescent="0.3">
      <c r="C27">
        <v>5.1970000000000001</v>
      </c>
      <c r="D27" s="5">
        <f>$D$1-C27</f>
        <v>-0.28214634146341311</v>
      </c>
      <c r="E27" s="6">
        <f t="shared" si="0"/>
        <v>7.9606558001188903</v>
      </c>
      <c r="R27">
        <v>5.1970000000000001</v>
      </c>
    </row>
    <row r="28" spans="3:18" x14ac:dyDescent="0.3">
      <c r="C28">
        <v>4.8579999999999997</v>
      </c>
      <c r="D28" s="5">
        <f>$D$1-C28</f>
        <v>5.6853658536587304E-2</v>
      </c>
      <c r="E28" s="6">
        <f t="shared" si="0"/>
        <v>0.32323384889948664</v>
      </c>
      <c r="G28">
        <f>SQRT(1/(82*81)*SUM($E$2:$E$83)/100)</f>
        <v>1.7836320630100783E-2</v>
      </c>
      <c r="R28">
        <v>4.8579999999999997</v>
      </c>
    </row>
    <row r="29" spans="3:18" x14ac:dyDescent="0.3">
      <c r="C29">
        <v>4.7539999999999996</v>
      </c>
      <c r="D29" s="5">
        <f>$D$1-C29</f>
        <v>0.1608536585365874</v>
      </c>
      <c r="E29" s="6">
        <f t="shared" si="0"/>
        <v>2.5873899464605055</v>
      </c>
      <c r="R29">
        <v>4.7539999999999996</v>
      </c>
    </row>
    <row r="30" spans="3:18" x14ac:dyDescent="0.3">
      <c r="C30">
        <v>4.7519999999999998</v>
      </c>
      <c r="D30" s="5">
        <f>$D$1-C30</f>
        <v>0.16285365853658718</v>
      </c>
      <c r="E30" s="6">
        <f t="shared" si="0"/>
        <v>2.6521314098751336</v>
      </c>
      <c r="R30">
        <v>4.7519999999999998</v>
      </c>
    </row>
    <row r="31" spans="3:18" x14ac:dyDescent="0.3">
      <c r="C31">
        <v>5.149</v>
      </c>
      <c r="D31" s="5">
        <f>$D$1-C31</f>
        <v>-0.23414634146341307</v>
      </c>
      <c r="E31" s="6">
        <f t="shared" si="0"/>
        <v>5.4824509220701225</v>
      </c>
      <c r="R31">
        <v>5.149</v>
      </c>
    </row>
    <row r="32" spans="3:18" x14ac:dyDescent="0.3">
      <c r="C32">
        <v>5.01</v>
      </c>
      <c r="D32" s="5">
        <f>$D$1-C32</f>
        <v>-9.5146341463412831E-2</v>
      </c>
      <c r="E32" s="6">
        <f t="shared" si="0"/>
        <v>0.90528262938723514</v>
      </c>
      <c r="R32">
        <v>5.01</v>
      </c>
    </row>
    <row r="33" spans="3:18" x14ac:dyDescent="0.3">
      <c r="C33">
        <v>4.7</v>
      </c>
      <c r="D33" s="5">
        <f>$D$1-C33</f>
        <v>0.21485365853658678</v>
      </c>
      <c r="E33" s="6">
        <f t="shared" si="0"/>
        <v>4.6162094586556224</v>
      </c>
      <c r="R33">
        <v>4.7</v>
      </c>
    </row>
    <row r="34" spans="3:18" x14ac:dyDescent="0.3">
      <c r="C34">
        <v>4.84</v>
      </c>
      <c r="D34" s="5">
        <f>$D$1-C34</f>
        <v>7.4853658536587098E-2</v>
      </c>
      <c r="E34" s="6">
        <f t="shared" si="0"/>
        <v>0.56030701963119789</v>
      </c>
      <c r="R34">
        <v>4.84</v>
      </c>
    </row>
    <row r="35" spans="3:18" x14ac:dyDescent="0.3">
      <c r="C35">
        <v>4.7</v>
      </c>
      <c r="D35" s="5">
        <f>$D$1-C35</f>
        <v>0.21485365853658678</v>
      </c>
      <c r="E35" s="6">
        <f t="shared" si="0"/>
        <v>4.6162094586556224</v>
      </c>
      <c r="R35">
        <v>4.7</v>
      </c>
    </row>
    <row r="36" spans="3:18" x14ac:dyDescent="0.3">
      <c r="C36">
        <v>4.8</v>
      </c>
      <c r="D36" s="5">
        <f>$D$1-C36</f>
        <v>0.11485365853658713</v>
      </c>
      <c r="E36" s="6">
        <f t="shared" si="0"/>
        <v>1.3191362879238955</v>
      </c>
      <c r="R36">
        <v>4.8</v>
      </c>
    </row>
    <row r="37" spans="3:18" x14ac:dyDescent="0.3">
      <c r="C37">
        <v>4.93</v>
      </c>
      <c r="D37" s="5">
        <f>$D$1-C37</f>
        <v>-1.514634146341276E-2</v>
      </c>
      <c r="E37" s="6">
        <f t="shared" si="0"/>
        <v>2.294116597262966E-2</v>
      </c>
      <c r="R37">
        <v>4.93</v>
      </c>
    </row>
    <row r="38" spans="3:18" x14ac:dyDescent="0.3">
      <c r="C38">
        <v>4.72</v>
      </c>
      <c r="D38" s="5">
        <f>$D$1-C38</f>
        <v>0.1948536585365872</v>
      </c>
      <c r="E38" s="6">
        <f t="shared" si="0"/>
        <v>3.7967948245092926</v>
      </c>
      <c r="R38">
        <v>4.72</v>
      </c>
    </row>
    <row r="39" spans="3:18" x14ac:dyDescent="0.3">
      <c r="C39">
        <v>5</v>
      </c>
      <c r="D39" s="5">
        <f>$D$1-C39</f>
        <v>-8.5146341463413044E-2</v>
      </c>
      <c r="E39" s="6">
        <f t="shared" si="0"/>
        <v>0.72498994646041315</v>
      </c>
      <c r="R39">
        <v>5</v>
      </c>
    </row>
    <row r="40" spans="3:18" x14ac:dyDescent="0.3">
      <c r="C40">
        <v>4.63</v>
      </c>
      <c r="D40" s="5">
        <f>$D$1-C40</f>
        <v>0.28485365853658706</v>
      </c>
      <c r="E40" s="6">
        <f t="shared" si="0"/>
        <v>8.1141606781678526</v>
      </c>
      <c r="R40">
        <v>4.63</v>
      </c>
    </row>
    <row r="41" spans="3:18" x14ac:dyDescent="0.3">
      <c r="C41">
        <v>4.78</v>
      </c>
      <c r="D41" s="5">
        <f>$D$1-C41</f>
        <v>0.13485365853658671</v>
      </c>
      <c r="E41" s="6">
        <f t="shared" si="0"/>
        <v>1.8185509220702323</v>
      </c>
      <c r="R41">
        <v>4.78</v>
      </c>
    </row>
    <row r="42" spans="3:18" x14ac:dyDescent="0.3">
      <c r="C42">
        <v>4.91</v>
      </c>
      <c r="D42" s="5">
        <f>$D$1-C42</f>
        <v>4.8536585365868135E-3</v>
      </c>
      <c r="E42" s="6">
        <f t="shared" si="0"/>
        <v>2.3558001189782048E-3</v>
      </c>
      <c r="R42">
        <v>4.91</v>
      </c>
    </row>
    <row r="43" spans="3:18" x14ac:dyDescent="0.3">
      <c r="C43">
        <v>5.0999999999999996</v>
      </c>
      <c r="D43" s="5">
        <f>$D$1-C43</f>
        <v>-0.18514634146341269</v>
      </c>
      <c r="E43" s="6">
        <f t="shared" si="0"/>
        <v>3.4279167757286606</v>
      </c>
      <c r="R43">
        <v>5.0999999999999996</v>
      </c>
    </row>
    <row r="44" spans="3:18" x14ac:dyDescent="0.3">
      <c r="C44">
        <v>4.7030000000000003</v>
      </c>
      <c r="D44" s="5">
        <f>$D$1-C44</f>
        <v>0.21185365853658666</v>
      </c>
      <c r="E44" s="6">
        <f t="shared" si="0"/>
        <v>4.4881972635336655</v>
      </c>
      <c r="R44">
        <v>4.7030000000000003</v>
      </c>
    </row>
    <row r="45" spans="3:18" x14ac:dyDescent="0.3">
      <c r="C45">
        <v>4.84</v>
      </c>
      <c r="D45" s="5">
        <f>$D$1-C45</f>
        <v>7.4853658536587098E-2</v>
      </c>
      <c r="E45" s="6">
        <f t="shared" si="0"/>
        <v>0.56030701963119789</v>
      </c>
      <c r="R45">
        <v>4.84</v>
      </c>
    </row>
    <row r="46" spans="3:18" x14ac:dyDescent="0.3">
      <c r="C46">
        <v>4.97</v>
      </c>
      <c r="D46" s="5">
        <f>$D$1-C46</f>
        <v>-5.5146341463412796E-2</v>
      </c>
      <c r="E46" s="6">
        <f t="shared" si="0"/>
        <v>0.30411189767993213</v>
      </c>
      <c r="R46">
        <v>4.97</v>
      </c>
    </row>
    <row r="47" spans="3:18" x14ac:dyDescent="0.3">
      <c r="C47">
        <v>4.9400000000000004</v>
      </c>
      <c r="D47" s="5">
        <f>$D$1-C47</f>
        <v>-2.5146341463413435E-2</v>
      </c>
      <c r="E47" s="6">
        <f t="shared" si="0"/>
        <v>6.3233848899458572E-2</v>
      </c>
      <c r="R47">
        <v>4.9400000000000004</v>
      </c>
    </row>
    <row r="48" spans="3:18" x14ac:dyDescent="0.3">
      <c r="C48">
        <v>4.9160000000000004</v>
      </c>
      <c r="D48" s="5">
        <f>$D$1-C48</f>
        <v>-1.1463414634134139E-3</v>
      </c>
      <c r="E48" s="6">
        <f t="shared" si="0"/>
        <v>1.3140987507408074E-4</v>
      </c>
      <c r="R48">
        <v>4.9160000000000004</v>
      </c>
    </row>
    <row r="49" spans="3:18" x14ac:dyDescent="0.3">
      <c r="C49">
        <v>4.91</v>
      </c>
      <c r="D49" s="5">
        <f>$D$1-C49</f>
        <v>4.8536585365868135E-3</v>
      </c>
      <c r="E49" s="6">
        <f t="shared" si="0"/>
        <v>2.3558001189782048E-3</v>
      </c>
      <c r="R49">
        <v>4.91</v>
      </c>
    </row>
    <row r="50" spans="3:18" x14ac:dyDescent="0.3">
      <c r="C50">
        <v>4.93</v>
      </c>
      <c r="D50" s="5">
        <f>$D$1-C50</f>
        <v>-1.514634146341276E-2</v>
      </c>
      <c r="E50" s="6">
        <f t="shared" si="0"/>
        <v>2.294116597262966E-2</v>
      </c>
      <c r="R50">
        <v>4.93</v>
      </c>
    </row>
    <row r="51" spans="3:18" x14ac:dyDescent="0.3">
      <c r="C51">
        <v>5.1150000000000002</v>
      </c>
      <c r="D51" s="5">
        <f>$D$1-C51</f>
        <v>-0.20014634146341326</v>
      </c>
      <c r="E51" s="6">
        <f t="shared" si="0"/>
        <v>4.0058558001189217</v>
      </c>
      <c r="R51">
        <v>5.1150000000000002</v>
      </c>
    </row>
    <row r="52" spans="3:18" x14ac:dyDescent="0.3">
      <c r="C52">
        <v>4.75</v>
      </c>
      <c r="D52" s="5">
        <f>$D$1-C52</f>
        <v>0.16485365853658696</v>
      </c>
      <c r="E52" s="6">
        <f t="shared" si="0"/>
        <v>2.7176728732897608</v>
      </c>
      <c r="R52">
        <v>4.75</v>
      </c>
    </row>
    <row r="53" spans="3:18" x14ac:dyDescent="0.3">
      <c r="C53">
        <v>4.99</v>
      </c>
      <c r="D53" s="5">
        <f>$D$1-C53</f>
        <v>-7.5146341463413258E-2</v>
      </c>
      <c r="E53" s="6">
        <f t="shared" si="0"/>
        <v>0.56469726353359029</v>
      </c>
      <c r="R53">
        <v>4.99</v>
      </c>
    </row>
    <row r="54" spans="3:18" x14ac:dyDescent="0.3">
      <c r="C54">
        <v>4.79</v>
      </c>
      <c r="D54" s="5">
        <f>$D$1-C54</f>
        <v>0.12485365853658692</v>
      </c>
      <c r="E54" s="6">
        <f t="shared" si="0"/>
        <v>1.5588436049970644</v>
      </c>
      <c r="R54">
        <v>4.79</v>
      </c>
    </row>
    <row r="55" spans="3:18" x14ac:dyDescent="0.3">
      <c r="C55">
        <v>4.8</v>
      </c>
      <c r="D55" s="5">
        <f>$D$1-C55</f>
        <v>0.11485365853658713</v>
      </c>
      <c r="E55" s="6">
        <f t="shared" si="0"/>
        <v>1.3191362879238955</v>
      </c>
      <c r="R55">
        <v>4.8</v>
      </c>
    </row>
    <row r="56" spans="3:18" x14ac:dyDescent="0.3">
      <c r="C56">
        <v>4.6520000000000001</v>
      </c>
      <c r="D56" s="5">
        <f>$D$1-C56</f>
        <v>0.26285365853658682</v>
      </c>
      <c r="E56" s="6">
        <f t="shared" si="0"/>
        <v>6.9092045806068576</v>
      </c>
      <c r="R56">
        <v>4.6520000000000001</v>
      </c>
    </row>
    <row r="57" spans="3:18" x14ac:dyDescent="0.3">
      <c r="C57">
        <v>4.8600000000000003</v>
      </c>
      <c r="D57" s="5">
        <f>$D$1-C57</f>
        <v>5.4853658536586636E-2</v>
      </c>
      <c r="E57" s="6">
        <f t="shared" si="0"/>
        <v>0.30089238548484437</v>
      </c>
      <c r="R57">
        <v>4.8600000000000003</v>
      </c>
    </row>
    <row r="58" spans="3:18" x14ac:dyDescent="0.3">
      <c r="C58">
        <v>4.8579999999999997</v>
      </c>
      <c r="D58" s="5">
        <f>$D$1-C58</f>
        <v>5.6853658536587304E-2</v>
      </c>
      <c r="E58" s="6">
        <f t="shared" si="0"/>
        <v>0.32323384889948664</v>
      </c>
      <c r="R58">
        <v>4.8579999999999997</v>
      </c>
    </row>
    <row r="59" spans="3:18" x14ac:dyDescent="0.3">
      <c r="C59">
        <v>4.7670000000000003</v>
      </c>
      <c r="D59" s="5">
        <f>$D$1-C59</f>
        <v>0.14785365853658661</v>
      </c>
      <c r="E59" s="6">
        <f t="shared" si="0"/>
        <v>2.1860704342653547</v>
      </c>
      <c r="R59">
        <v>4.7670000000000003</v>
      </c>
    </row>
    <row r="60" spans="3:18" x14ac:dyDescent="0.3">
      <c r="C60">
        <v>4.9420000000000002</v>
      </c>
      <c r="D60" s="5">
        <f>$D$1-C60</f>
        <v>-2.7146341463413215E-2</v>
      </c>
      <c r="E60" s="6">
        <f t="shared" si="0"/>
        <v>7.3692385484822764E-2</v>
      </c>
      <c r="R60">
        <v>4.9420000000000002</v>
      </c>
    </row>
    <row r="61" spans="3:18" x14ac:dyDescent="0.3">
      <c r="C61">
        <v>4.8550000000000004</v>
      </c>
      <c r="D61" s="5">
        <f>$D$1-C61</f>
        <v>5.9853658536586529E-2</v>
      </c>
      <c r="E61" s="6">
        <f t="shared" si="0"/>
        <v>0.35824604402142973</v>
      </c>
      <c r="R61">
        <v>4.8550000000000004</v>
      </c>
    </row>
    <row r="62" spans="3:18" x14ac:dyDescent="0.3">
      <c r="C62">
        <v>5.0720000000000001</v>
      </c>
      <c r="D62" s="5">
        <f>$D$1-C62</f>
        <v>-0.15714634146341311</v>
      </c>
      <c r="E62" s="6">
        <f t="shared" si="0"/>
        <v>2.469497263533563</v>
      </c>
      <c r="R62">
        <v>5.0720000000000001</v>
      </c>
    </row>
    <row r="63" spans="3:18" x14ac:dyDescent="0.3">
      <c r="C63">
        <v>5.117</v>
      </c>
      <c r="D63" s="5">
        <f>$D$1-C63</f>
        <v>-0.20214634146341304</v>
      </c>
      <c r="E63" s="6">
        <f t="shared" si="0"/>
        <v>4.0863143367042785</v>
      </c>
      <c r="R63">
        <v>5.117</v>
      </c>
    </row>
    <row r="64" spans="3:18" x14ac:dyDescent="0.3">
      <c r="C64">
        <v>4.907</v>
      </c>
      <c r="D64" s="5">
        <f>$D$1-C64</f>
        <v>7.8536585365869271E-3</v>
      </c>
      <c r="E64" s="6">
        <f t="shared" si="0"/>
        <v>6.1679952409304717E-3</v>
      </c>
      <c r="R64">
        <v>4.907</v>
      </c>
    </row>
    <row r="65" spans="3:18" x14ac:dyDescent="0.3">
      <c r="C65">
        <v>4.8959999999999999</v>
      </c>
      <c r="D65" s="5">
        <f>$D$1-C65</f>
        <v>1.8853658536587048E-2</v>
      </c>
      <c r="E65" s="6">
        <f t="shared" si="0"/>
        <v>3.5546044021422168E-2</v>
      </c>
      <c r="R65">
        <v>4.8959999999999999</v>
      </c>
    </row>
    <row r="66" spans="3:18" x14ac:dyDescent="0.3">
      <c r="C66">
        <v>5.31</v>
      </c>
      <c r="D66" s="5">
        <f>$D$1-C66</f>
        <v>-0.39514634146341265</v>
      </c>
      <c r="E66" s="6">
        <f t="shared" si="0"/>
        <v>15.614063117191989</v>
      </c>
      <c r="R66">
        <v>5.31</v>
      </c>
    </row>
    <row r="67" spans="3:18" x14ac:dyDescent="0.3">
      <c r="C67">
        <v>5.1150000000000002</v>
      </c>
      <c r="D67" s="5">
        <f>$D$1-C67</f>
        <v>-0.20014634146341326</v>
      </c>
      <c r="E67" s="6">
        <f t="shared" ref="E67:E83" si="25">D67^2*10^2</f>
        <v>4.0058558001189217</v>
      </c>
      <c r="R67">
        <v>5.1150000000000002</v>
      </c>
    </row>
    <row r="68" spans="3:18" x14ac:dyDescent="0.3">
      <c r="C68">
        <v>5.1479999999999997</v>
      </c>
      <c r="D68" s="5">
        <f>$D$1-C68</f>
        <v>-0.23314634146341273</v>
      </c>
      <c r="E68" s="6">
        <f t="shared" si="25"/>
        <v>5.4357216537774251</v>
      </c>
      <c r="R68">
        <v>5.1479999999999997</v>
      </c>
    </row>
    <row r="69" spans="3:18" x14ac:dyDescent="0.3">
      <c r="C69">
        <v>4.8940000000000001</v>
      </c>
      <c r="D69" s="5">
        <f>$D$1-C69</f>
        <v>2.0853658536586828E-2</v>
      </c>
      <c r="E69" s="6">
        <f t="shared" si="25"/>
        <v>4.3487507436056068E-2</v>
      </c>
      <c r="R69">
        <v>4.8940000000000001</v>
      </c>
    </row>
    <row r="70" spans="3:18" x14ac:dyDescent="0.3">
      <c r="C70">
        <v>5.2530000000000001</v>
      </c>
      <c r="D70" s="5">
        <f>$D$1-C70</f>
        <v>-0.33814634146341316</v>
      </c>
      <c r="E70" s="6">
        <f t="shared" si="25"/>
        <v>11.434294824509122</v>
      </c>
      <c r="R70">
        <v>5.2530000000000001</v>
      </c>
    </row>
    <row r="71" spans="3:18" x14ac:dyDescent="0.3">
      <c r="C71">
        <v>5.01</v>
      </c>
      <c r="D71" s="5">
        <f>$D$1-C71</f>
        <v>-9.5146341463412831E-2</v>
      </c>
      <c r="E71" s="6">
        <f t="shared" si="25"/>
        <v>0.90528262938723514</v>
      </c>
      <c r="R71">
        <v>5.01</v>
      </c>
    </row>
    <row r="72" spans="3:18" x14ac:dyDescent="0.3">
      <c r="C72">
        <v>5.0380000000000003</v>
      </c>
      <c r="D72" s="5">
        <f>$D$1-C72</f>
        <v>-0.1231463414634133</v>
      </c>
      <c r="E72" s="6">
        <f t="shared" si="25"/>
        <v>1.5165021415823587</v>
      </c>
      <c r="R72">
        <v>5.0380000000000003</v>
      </c>
    </row>
    <row r="73" spans="3:18" x14ac:dyDescent="0.3">
      <c r="C73">
        <v>5</v>
      </c>
      <c r="D73" s="5">
        <f>$D$1-C73</f>
        <v>-8.5146341463413044E-2</v>
      </c>
      <c r="E73" s="6">
        <f t="shared" si="25"/>
        <v>0.72498994646041315</v>
      </c>
      <c r="R73">
        <v>5</v>
      </c>
    </row>
    <row r="74" spans="3:18" x14ac:dyDescent="0.3">
      <c r="C74">
        <v>5.117</v>
      </c>
      <c r="D74" s="5">
        <f>$D$1-C74</f>
        <v>-0.20214634146341304</v>
      </c>
      <c r="E74" s="6">
        <f t="shared" si="25"/>
        <v>4.0863143367042785</v>
      </c>
      <c r="R74">
        <v>5.117</v>
      </c>
    </row>
    <row r="75" spans="3:18" x14ac:dyDescent="0.3">
      <c r="C75">
        <v>5.2140000000000004</v>
      </c>
      <c r="D75" s="5">
        <f>$D$1-C75</f>
        <v>-0.29914634146341346</v>
      </c>
      <c r="E75" s="6">
        <f t="shared" si="25"/>
        <v>8.9488533610945158</v>
      </c>
      <c r="R75">
        <v>5.2140000000000004</v>
      </c>
    </row>
    <row r="76" spans="3:18" x14ac:dyDescent="0.3">
      <c r="C76">
        <v>4.91</v>
      </c>
      <c r="D76" s="5">
        <f>$D$1-C76</f>
        <v>4.8536585365868135E-3</v>
      </c>
      <c r="E76" s="6">
        <f t="shared" si="25"/>
        <v>2.3558001189782048E-3</v>
      </c>
      <c r="R76">
        <v>4.91</v>
      </c>
    </row>
    <row r="77" spans="3:18" x14ac:dyDescent="0.3">
      <c r="C77">
        <v>5.0199999999999996</v>
      </c>
      <c r="D77" s="5">
        <f>$D$1-C77</f>
        <v>-0.10514634146341262</v>
      </c>
      <c r="E77" s="6">
        <f t="shared" si="25"/>
        <v>1.1055753123140564</v>
      </c>
      <c r="R77">
        <v>5.0199999999999996</v>
      </c>
    </row>
    <row r="78" spans="3:18" x14ac:dyDescent="0.3">
      <c r="C78">
        <v>4.923</v>
      </c>
      <c r="D78" s="5">
        <f>$D$1-C78</f>
        <v>-8.1463414634130871E-3</v>
      </c>
      <c r="E78" s="6">
        <f t="shared" si="25"/>
        <v>6.6362879238523282E-3</v>
      </c>
      <c r="R78">
        <v>4.923</v>
      </c>
    </row>
    <row r="79" spans="3:18" x14ac:dyDescent="0.3">
      <c r="C79">
        <v>5.22</v>
      </c>
      <c r="D79" s="5">
        <f>$D$1-C79</f>
        <v>-0.3051463414634128</v>
      </c>
      <c r="E79" s="6">
        <f t="shared" si="25"/>
        <v>9.3114289708505709</v>
      </c>
      <c r="R79">
        <v>5.22</v>
      </c>
    </row>
    <row r="80" spans="3:18" x14ac:dyDescent="0.3">
      <c r="C80">
        <v>5.0910000000000002</v>
      </c>
      <c r="D80" s="5">
        <f>$D$1-C80</f>
        <v>-0.17614634146341324</v>
      </c>
      <c r="E80" s="6">
        <f t="shared" si="25"/>
        <v>3.1027533610945373</v>
      </c>
      <c r="R80">
        <v>5.0910000000000002</v>
      </c>
    </row>
    <row r="81" spans="3:18" x14ac:dyDescent="0.3">
      <c r="C81">
        <v>4.9039999999999999</v>
      </c>
      <c r="D81" s="5">
        <f>$D$1-C81</f>
        <v>1.0853658536587041E-2</v>
      </c>
      <c r="E81" s="6">
        <f t="shared" si="25"/>
        <v>1.1780190362882874E-2</v>
      </c>
      <c r="R81">
        <v>4.9039999999999999</v>
      </c>
    </row>
    <row r="82" spans="3:18" x14ac:dyDescent="0.3">
      <c r="C82">
        <v>4.8630000000000004</v>
      </c>
      <c r="D82" s="5">
        <f>$D$1-C82</f>
        <v>5.1853658536586522E-2</v>
      </c>
      <c r="E82" s="6">
        <f t="shared" si="25"/>
        <v>0.26888019036289124</v>
      </c>
      <c r="R82">
        <v>4.8630000000000004</v>
      </c>
    </row>
    <row r="83" spans="3:18" x14ac:dyDescent="0.3">
      <c r="C83">
        <v>5</v>
      </c>
      <c r="D83" s="5">
        <f>$D$1-C83</f>
        <v>-8.5146341463413044E-2</v>
      </c>
      <c r="E83" s="6">
        <f t="shared" si="25"/>
        <v>0.72498994646041315</v>
      </c>
      <c r="R83">
        <v>5</v>
      </c>
    </row>
    <row r="84" spans="3:18" x14ac:dyDescent="0.3">
      <c r="C84" s="1">
        <f>MAX(C2:C83)</f>
        <v>5.31</v>
      </c>
      <c r="D84" s="4">
        <f>SUM(D2:D83)*10^12</f>
        <v>0.12878587085651816</v>
      </c>
      <c r="E84" s="3">
        <f>SQRT(1/8100*SUM(E2:E83))</f>
        <v>0.16151475275286845</v>
      </c>
    </row>
    <row r="85" spans="3:18" x14ac:dyDescent="0.3">
      <c r="C85" s="1">
        <f>MIN(C2:C83)</f>
        <v>4.63</v>
      </c>
      <c r="E85" s="6">
        <f>1/(E84*SQRT(2*PI()))</f>
        <v>2.4700052075852721</v>
      </c>
    </row>
  </sheetData>
  <mergeCells count="41">
    <mergeCell ref="L22:L23"/>
    <mergeCell ref="H19:H20"/>
    <mergeCell ref="I19:I20"/>
    <mergeCell ref="J19:J20"/>
    <mergeCell ref="K19:K20"/>
    <mergeCell ref="G22:G23"/>
    <mergeCell ref="H22:I22"/>
    <mergeCell ref="J22:J23"/>
    <mergeCell ref="K22:K23"/>
    <mergeCell ref="H15:H16"/>
    <mergeCell ref="I15:I16"/>
    <mergeCell ref="J15:J16"/>
    <mergeCell ref="K15:K16"/>
    <mergeCell ref="H17:H18"/>
    <mergeCell ref="I17:I18"/>
    <mergeCell ref="J17:J18"/>
    <mergeCell ref="K17:K18"/>
    <mergeCell ref="H11:H12"/>
    <mergeCell ref="I11:I12"/>
    <mergeCell ref="J11:J12"/>
    <mergeCell ref="K11:K12"/>
    <mergeCell ref="H13:H14"/>
    <mergeCell ref="I13:I14"/>
    <mergeCell ref="J13:J14"/>
    <mergeCell ref="K13:K14"/>
    <mergeCell ref="H7:H8"/>
    <mergeCell ref="I7:I8"/>
    <mergeCell ref="J7:J8"/>
    <mergeCell ref="K7:K8"/>
    <mergeCell ref="H9:H10"/>
    <mergeCell ref="I9:I10"/>
    <mergeCell ref="J9:J10"/>
    <mergeCell ref="K9:K10"/>
    <mergeCell ref="H3:H4"/>
    <mergeCell ref="I3:I4"/>
    <mergeCell ref="J3:J4"/>
    <mergeCell ref="K3:K4"/>
    <mergeCell ref="H5:H6"/>
    <mergeCell ref="I5:I6"/>
    <mergeCell ref="J5:J6"/>
    <mergeCell ref="K5:K6"/>
  </mergeCell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c0ris</cp:lastModifiedBy>
  <cp:revision/>
  <dcterms:created xsi:type="dcterms:W3CDTF">2023-03-13T20:50:03Z</dcterms:created>
  <dcterms:modified xsi:type="dcterms:W3CDTF">2023-03-22T01:13:23Z</dcterms:modified>
  <cp:category/>
  <cp:contentStatus/>
</cp:coreProperties>
</file>